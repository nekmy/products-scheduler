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en\Documents\projects\datas\"/>
    </mc:Choice>
  </mc:AlternateContent>
  <xr:revisionPtr revIDLastSave="0" documentId="13_ncr:1_{776251E7-2288-4154-B31B-9589FA519276}" xr6:coauthVersionLast="47" xr6:coauthVersionMax="47" xr10:uidLastSave="{00000000-0000-0000-0000-000000000000}"/>
  <bookViews>
    <workbookView xWindow="5310" yWindow="4740" windowWidth="28800" windowHeight="15460" xr2:uid="{00000000-000D-0000-FFFF-FFFF00000000}"/>
  </bookViews>
  <sheets>
    <sheet name="jobs" sheetId="1" r:id="rId1"/>
    <sheet name="prev_job_infos" sheetId="4" r:id="rId2"/>
    <sheet name="tasks" sheetId="2" r:id="rId3"/>
    <sheet name="prev_task_info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A2" i="3"/>
  <c r="A3" i="3"/>
  <c r="A4" i="3"/>
  <c r="A5" i="3"/>
  <c r="A6" i="3"/>
  <c r="A7" i="3"/>
  <c r="A3" i="1"/>
  <c r="A2" i="1"/>
</calcChain>
</file>

<file path=xl/sharedStrings.xml><?xml version="1.0" encoding="utf-8"?>
<sst xmlns="http://schemas.openxmlformats.org/spreadsheetml/2006/main" count="38" uniqueCount="18">
  <si>
    <t>job_id</t>
  </si>
  <si>
    <t>job_id</t>
    <phoneticPr fontId="1"/>
  </si>
  <si>
    <t>name</t>
    <phoneticPr fontId="1"/>
  </si>
  <si>
    <t>A</t>
    <phoneticPr fontId="1"/>
  </si>
  <si>
    <t>B</t>
    <phoneticPr fontId="1"/>
  </si>
  <si>
    <t>start_bucket_id</t>
    <phoneticPr fontId="1"/>
  </si>
  <si>
    <t>task_id</t>
  </si>
  <si>
    <t>task_id</t>
    <phoneticPr fontId="1"/>
  </si>
  <si>
    <t>prev_tasks_id</t>
  </si>
  <si>
    <t>need_time_bucket</t>
    <phoneticPr fontId="1"/>
  </si>
  <si>
    <t>1</t>
    <phoneticPr fontId="1"/>
  </si>
  <si>
    <t>2</t>
    <phoneticPr fontId="1"/>
  </si>
  <si>
    <t>3</t>
    <phoneticPr fontId="1"/>
  </si>
  <si>
    <t>0</t>
    <phoneticPr fontId="1"/>
  </si>
  <si>
    <t>prev_task_info_id</t>
    <phoneticPr fontId="1"/>
  </si>
  <si>
    <t>5</t>
    <phoneticPr fontId="1"/>
  </si>
  <si>
    <t>prev_job_info_id</t>
    <phoneticPr fontId="1"/>
  </si>
  <si>
    <t>prev_job_id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</si>
</sst>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23F3A0-8DEE-47D3-888E-6FF9B6F2E3C0}" name="jobs" displayName="jobs" ref="A1:C3" totalsRowShown="0" dataDxfId="12">
  <autoFilter ref="A1:C3" xr:uid="{8F23F3A0-8DEE-47D3-888E-6FF9B6F2E3C0}"/>
  <tableColumns count="3">
    <tableColumn id="1" xr3:uid="{4936049D-BB24-4368-BFFC-97B235391101}" name="job_id" dataDxfId="11">
      <calculatedColumnFormula>ROW()-ROW(jobs[[#Headers],[job_id]])-1</calculatedColumnFormula>
    </tableColumn>
    <tableColumn id="2" xr3:uid="{B685A03A-83BA-42F7-9AF0-AF3A0D054D70}" name="name" dataDxfId="10"/>
    <tableColumn id="3" xr3:uid="{A994FBCC-3050-41D8-ABE5-2B062B6BA68C}" name="start_bucket_id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51F875-B497-4823-9C9A-44E3B3F79EAC}" name="prev_job_infos" displayName="prev_job_infos" ref="A1:C2" totalsRowShown="0">
  <autoFilter ref="A1:C2" xr:uid="{7851F875-B497-4823-9C9A-44E3B3F79EAC}"/>
  <tableColumns count="3">
    <tableColumn id="1" xr3:uid="{A4997C0B-2457-4AB4-877C-6D60D3D9FCD7}" name="prev_job_info_id">
      <calculatedColumnFormula>ROW()-ROW(prev_job_infos[[#Headers],[prev_job_info_id]])-1</calculatedColumnFormula>
    </tableColumn>
    <tableColumn id="2" xr3:uid="{EA924AF9-C99F-4934-8A35-7294137943DA}" name="job_id"/>
    <tableColumn id="3" xr3:uid="{5AD93261-8804-4405-B0AB-FCFF35C616F1}" name="prev_job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FEF02B-2997-4D67-B891-4661DDFD8001}" name="tasks" displayName="tasks" ref="A1:C8" totalsRowShown="0" dataDxfId="8">
  <autoFilter ref="A1:C8" xr:uid="{BCFEF02B-2997-4D67-B891-4661DDFD8001}"/>
  <tableColumns count="3">
    <tableColumn id="1" xr3:uid="{81DFF5A3-D7EB-413C-B984-7E0D400BF480}" name="job_id" dataDxfId="7"/>
    <tableColumn id="2" xr3:uid="{CC67ACCC-5720-464A-A95B-D63F6E0C8304}" name="task_id" dataDxfId="6"/>
    <tableColumn id="4" xr3:uid="{3D0A6534-211C-477E-AC24-A5349AD5BEEA}" name="need_time_bucket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9E6776-2A51-4F7B-AB17-CB9F93D9497F}" name="prev_task_infos" displayName="prev_task_infos" ref="A1:D7" totalsRowShown="0" dataDxfId="4">
  <autoFilter ref="A1:D7" xr:uid="{F69E6776-2A51-4F7B-AB17-CB9F93D9497F}"/>
  <tableColumns count="4">
    <tableColumn id="4" xr3:uid="{909C616E-87F5-43DE-97B0-5C59DB99D13E}" name="prev_task_info_id" dataDxfId="3">
      <calculatedColumnFormula>ROW()-ROW(prev_task_infos[[#Headers],[prev_task_info_id]])-1</calculatedColumnFormula>
    </tableColumn>
    <tableColumn id="1" xr3:uid="{87908872-678C-43B1-A2AD-FD699019BCF6}" name="job_id" dataDxfId="2"/>
    <tableColumn id="2" xr3:uid="{3F260168-6931-4ED5-9747-21B2AF5DC9E1}" name="task_id" dataDxfId="1"/>
    <tableColumn id="3" xr3:uid="{0BC97977-3913-4C18-9AAC-B8BA8BBE706F}" name="prev_tasks_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8"/>
  <cols>
    <col min="1" max="1" width="8.75" bestFit="1" customWidth="1"/>
    <col min="3" max="3" width="17.58203125" bestFit="1" customWidth="1"/>
  </cols>
  <sheetData>
    <row r="1" spans="1:3">
      <c r="A1" t="s">
        <v>1</v>
      </c>
      <c r="B1" t="s">
        <v>2</v>
      </c>
      <c r="C1" t="s">
        <v>5</v>
      </c>
    </row>
    <row r="2" spans="1:3">
      <c r="A2" s="1">
        <f>ROW()-ROW(jobs[[#Headers],[job_id]])-1</f>
        <v>0</v>
      </c>
      <c r="B2" s="1" t="s">
        <v>3</v>
      </c>
      <c r="C2" s="1" t="s">
        <v>13</v>
      </c>
    </row>
    <row r="3" spans="1:3">
      <c r="A3" s="1">
        <f>ROW()-ROW(jobs[[#Headers],[job_id]])-1</f>
        <v>1</v>
      </c>
      <c r="B3" s="1" t="s">
        <v>4</v>
      </c>
      <c r="C3" s="1" t="s">
        <v>15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C9C9-4110-41C2-9565-A9D3E0A5B84E}">
  <dimension ref="A1:C2"/>
  <sheetViews>
    <sheetView workbookViewId="0">
      <selection activeCell="C3" sqref="C3"/>
    </sheetView>
  </sheetViews>
  <sheetFormatPr defaultRowHeight="18"/>
  <cols>
    <col min="1" max="1" width="18.33203125" bestFit="1" customWidth="1"/>
    <col min="2" max="2" width="8.75" bestFit="1" customWidth="1"/>
    <col min="3" max="3" width="13.6640625" bestFit="1" customWidth="1"/>
  </cols>
  <sheetData>
    <row r="1" spans="1:3">
      <c r="A1" t="s">
        <v>16</v>
      </c>
      <c r="B1" t="s">
        <v>1</v>
      </c>
      <c r="C1" t="s">
        <v>17</v>
      </c>
    </row>
    <row r="2" spans="1:3">
      <c r="A2">
        <f>ROW()-ROW(prev_job_infos[[#Headers],[prev_job_info_id]])-1</f>
        <v>0</v>
      </c>
      <c r="B2">
        <v>1</v>
      </c>
      <c r="C2"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77EF2-89E9-458C-9735-8C07EE6864F2}">
  <dimension ref="A1:C8"/>
  <sheetViews>
    <sheetView workbookViewId="0">
      <selection activeCell="E6" sqref="E6"/>
    </sheetView>
  </sheetViews>
  <sheetFormatPr defaultRowHeight="18"/>
  <cols>
    <col min="1" max="2" width="9.83203125" bestFit="1" customWidth="1"/>
    <col min="3" max="3" width="20.33203125" bestFit="1" customWidth="1"/>
  </cols>
  <sheetData>
    <row r="1" spans="1:3">
      <c r="A1" t="s">
        <v>1</v>
      </c>
      <c r="B1" t="s">
        <v>7</v>
      </c>
      <c r="C1" t="s">
        <v>9</v>
      </c>
    </row>
    <row r="2" spans="1:3">
      <c r="A2" s="1" t="s">
        <v>13</v>
      </c>
      <c r="B2" s="1" t="s">
        <v>13</v>
      </c>
      <c r="C2" s="1" t="s">
        <v>11</v>
      </c>
    </row>
    <row r="3" spans="1:3">
      <c r="A3" s="1" t="s">
        <v>13</v>
      </c>
      <c r="B3" s="1" t="s">
        <v>10</v>
      </c>
      <c r="C3" s="1" t="s">
        <v>10</v>
      </c>
    </row>
    <row r="4" spans="1:3">
      <c r="A4" s="1" t="s">
        <v>13</v>
      </c>
      <c r="B4" s="1" t="s">
        <v>11</v>
      </c>
      <c r="C4" s="1" t="s">
        <v>12</v>
      </c>
    </row>
    <row r="5" spans="1:3">
      <c r="A5" s="1" t="s">
        <v>10</v>
      </c>
      <c r="B5" s="1" t="s">
        <v>13</v>
      </c>
      <c r="C5" s="1" t="s">
        <v>10</v>
      </c>
    </row>
    <row r="6" spans="1:3">
      <c r="A6" s="1" t="s">
        <v>10</v>
      </c>
      <c r="B6" s="1" t="s">
        <v>10</v>
      </c>
      <c r="C6" s="1" t="s">
        <v>12</v>
      </c>
    </row>
    <row r="7" spans="1:3">
      <c r="A7" s="1" t="s">
        <v>10</v>
      </c>
      <c r="B7" s="1" t="s">
        <v>11</v>
      </c>
      <c r="C7" s="1" t="s">
        <v>11</v>
      </c>
    </row>
    <row r="8" spans="1:3">
      <c r="A8" s="1" t="s">
        <v>10</v>
      </c>
      <c r="B8" s="1" t="s">
        <v>12</v>
      </c>
      <c r="C8" s="1" t="s">
        <v>10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0519-C508-4777-8D9B-79D0E9A72A96}">
  <dimension ref="A1:D7"/>
  <sheetViews>
    <sheetView workbookViewId="0">
      <selection activeCell="B3" sqref="B3"/>
    </sheetView>
  </sheetViews>
  <sheetFormatPr defaultRowHeight="18"/>
  <cols>
    <col min="1" max="1" width="19.5" bestFit="1" customWidth="1"/>
    <col min="2" max="2" width="9" customWidth="1"/>
    <col min="3" max="4" width="15.9140625" bestFit="1" customWidth="1"/>
  </cols>
  <sheetData>
    <row r="1" spans="1:4">
      <c r="A1" t="s">
        <v>14</v>
      </c>
      <c r="B1" t="s">
        <v>0</v>
      </c>
      <c r="C1" t="s">
        <v>6</v>
      </c>
      <c r="D1" t="s">
        <v>8</v>
      </c>
    </row>
    <row r="2" spans="1:4">
      <c r="A2" s="1">
        <f>ROW()-ROW(prev_task_infos[[#Headers],[prev_task_info_id]])-1</f>
        <v>0</v>
      </c>
      <c r="B2" s="1">
        <v>0</v>
      </c>
      <c r="C2" s="1">
        <v>1</v>
      </c>
      <c r="D2" s="1">
        <v>0</v>
      </c>
    </row>
    <row r="3" spans="1:4">
      <c r="A3" s="1">
        <f>ROW()-ROW(prev_task_infos[[#Headers],[prev_task_info_id]])-1</f>
        <v>1</v>
      </c>
      <c r="B3" s="1">
        <v>0</v>
      </c>
      <c r="C3" s="1">
        <v>2</v>
      </c>
      <c r="D3" s="1">
        <v>1</v>
      </c>
    </row>
    <row r="4" spans="1:4">
      <c r="A4" s="1">
        <f>ROW()-ROW(prev_task_infos[[#Headers],[prev_task_info_id]])-1</f>
        <v>2</v>
      </c>
      <c r="B4" s="1">
        <v>1</v>
      </c>
      <c r="C4" s="1">
        <v>1</v>
      </c>
      <c r="D4" s="1">
        <v>0</v>
      </c>
    </row>
    <row r="5" spans="1:4">
      <c r="A5" s="1">
        <f>ROW()-ROW(prev_task_infos[[#Headers],[prev_task_info_id]])-1</f>
        <v>3</v>
      </c>
      <c r="B5" s="1">
        <v>1</v>
      </c>
      <c r="C5" s="1">
        <v>2</v>
      </c>
      <c r="D5" s="1">
        <v>0</v>
      </c>
    </row>
    <row r="6" spans="1:4">
      <c r="A6" s="1">
        <f>ROW()-ROW(prev_task_infos[[#Headers],[prev_task_info_id]])-1</f>
        <v>4</v>
      </c>
      <c r="B6" s="1">
        <v>1</v>
      </c>
      <c r="C6" s="1">
        <v>3</v>
      </c>
      <c r="D6" s="1">
        <v>1</v>
      </c>
    </row>
    <row r="7" spans="1:4">
      <c r="A7" s="1">
        <f>ROW()-ROW(prev_task_infos[[#Headers],[prev_task_info_id]])-1</f>
        <v>5</v>
      </c>
      <c r="B7" s="1">
        <v>1</v>
      </c>
      <c r="C7" s="1">
        <v>3</v>
      </c>
      <c r="D7" s="1">
        <v>2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jobs</vt:lpstr>
      <vt:lpstr>prev_job_infos</vt:lpstr>
      <vt:lpstr>tasks</vt:lpstr>
      <vt:lpstr>prev_task_infos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Ken Asami</cp:lastModifiedBy>
  <dcterms:created xsi:type="dcterms:W3CDTF">2015-06-05T18:19:34Z</dcterms:created>
  <dcterms:modified xsi:type="dcterms:W3CDTF">2026-01-03T12:01:47Z</dcterms:modified>
</cp:coreProperties>
</file>